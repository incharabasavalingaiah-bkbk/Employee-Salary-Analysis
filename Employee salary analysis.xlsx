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<sst xmlns="http://schemas.openxmlformats.org/spreadsheetml/2006/main" count="60" uniqueCount="44">
  <si>
    <t>Employee ID</t>
  </si>
  <si>
    <t>Name</t>
  </si>
  <si>
    <t>Gender</t>
  </si>
  <si>
    <t>Department</t>
  </si>
  <si>
    <t>Job Title</t>
  </si>
  <si>
    <t>Salary</t>
  </si>
  <si>
    <t>Age</t>
  </si>
  <si>
    <t>Experience</t>
  </si>
  <si>
    <t>City</t>
  </si>
  <si>
    <t>HR Dashboard Summary</t>
  </si>
  <si>
    <t>EMP001</t>
  </si>
  <si>
    <t>Priya</t>
  </si>
  <si>
    <t>female</t>
  </si>
  <si>
    <t>HR executive</t>
  </si>
  <si>
    <t>Benguluru</t>
  </si>
  <si>
    <t>Total Employees</t>
  </si>
  <si>
    <t>EMP002</t>
  </si>
  <si>
    <t>Harish</t>
  </si>
  <si>
    <t>male</t>
  </si>
  <si>
    <t>finance analyst</t>
  </si>
  <si>
    <t>Average Salary</t>
  </si>
  <si>
    <t>EMP003</t>
  </si>
  <si>
    <t>Varsha</t>
  </si>
  <si>
    <t>sales executive</t>
  </si>
  <si>
    <t>Highest salary</t>
  </si>
  <si>
    <t>EMP004</t>
  </si>
  <si>
    <t>Amith</t>
  </si>
  <si>
    <t>data analyst</t>
  </si>
  <si>
    <t>Lowest salary</t>
  </si>
  <si>
    <t>EMP005</t>
  </si>
  <si>
    <t>Kiran</t>
  </si>
  <si>
    <t>talent aquisition executive</t>
  </si>
  <si>
    <t>Total Salary</t>
  </si>
  <si>
    <t>EMP006</t>
  </si>
  <si>
    <t>Sathish</t>
  </si>
  <si>
    <t>accounts executive</t>
  </si>
  <si>
    <t>EMP007</t>
  </si>
  <si>
    <t>Rekha</t>
  </si>
  <si>
    <t>EMP008</t>
  </si>
  <si>
    <t>Nethra</t>
  </si>
  <si>
    <t>EMP009</t>
  </si>
  <si>
    <t>Sindhu</t>
  </si>
  <si>
    <t>EMP010</t>
  </si>
  <si>
    <t>Varun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</si>
</sst>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sz val="14.0"/>
      <color rgb="FFF3F3F3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0000FF"/>
        <bgColor rgb="FF0000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3" fontId="1" numFmtId="0" xfId="0" applyAlignment="1" applyFont="1">
      <alignment readingOrder="0"/>
    </xf>
    <xf borderId="0" fillId="3" fontId="1" numFmtId="0" xfId="0" applyFont="1"/>
    <xf borderId="0" fillId="0" fontId="1" numFmtId="0" xfId="0" applyFont="1"/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314325</xdr:colOff>
      <xdr:row>12</xdr:row>
      <xdr:rowOff>76200</xdr:rowOff>
    </xdr:from>
    <xdr:ext cx="5715000" cy="3533775"/>
    <xdr:pic>
      <xdr:nvPicPr>
        <xdr:cNvPr id="573263102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3" t="s">
        <v>9</v>
      </c>
      <c r="L1" s="4"/>
      <c r="M1" s="5"/>
    </row>
    <row r="2">
      <c r="A2" s="1" t="s">
        <v>10</v>
      </c>
      <c r="B2" s="1" t="s">
        <v>11</v>
      </c>
      <c r="C2" s="1" t="s">
        <v>12</v>
      </c>
      <c r="D2" s="6" t="str">
        <f>IFERROR(__xludf.DUMMYFUNCTION("AI(""HR,Sales,Finance&lt;,IT"")"),"HR")</f>
        <v>HR</v>
      </c>
      <c r="E2" s="1" t="s">
        <v>13</v>
      </c>
      <c r="F2" s="1">
        <v>45000.0</v>
      </c>
      <c r="G2" s="1">
        <v>25.0</v>
      </c>
      <c r="H2" s="1">
        <v>2.0</v>
      </c>
      <c r="I2" s="1" t="s">
        <v>14</v>
      </c>
      <c r="K2" s="7" t="s">
        <v>15</v>
      </c>
      <c r="L2" s="8">
        <f>COUNTA(A2:A11)</f>
        <v>10</v>
      </c>
    </row>
    <row r="3">
      <c r="A3" s="1" t="s">
        <v>16</v>
      </c>
      <c r="B3" s="1" t="s">
        <v>17</v>
      </c>
      <c r="C3" s="1" t="s">
        <v>18</v>
      </c>
      <c r="D3" s="6" t="str">
        <f>IFERROR(__xludf.DUMMYFUNCTION("AI(""HR,Sales,Finance&lt;,IT"")"),"Finance")</f>
        <v>Finance</v>
      </c>
      <c r="E3" s="1" t="s">
        <v>19</v>
      </c>
      <c r="F3" s="1">
        <v>50000.0</v>
      </c>
      <c r="G3" s="1">
        <v>28.0</v>
      </c>
      <c r="H3" s="1">
        <v>3.0</v>
      </c>
      <c r="I3" s="1" t="s">
        <v>14</v>
      </c>
      <c r="K3" s="7" t="s">
        <v>20</v>
      </c>
      <c r="L3" s="9">
        <f>AVERAGE(F2:F11)</f>
        <v>60200</v>
      </c>
    </row>
    <row r="4">
      <c r="A4" s="1" t="s">
        <v>21</v>
      </c>
      <c r="B4" s="1" t="s">
        <v>22</v>
      </c>
      <c r="C4" s="1" t="s">
        <v>12</v>
      </c>
      <c r="D4" s="6" t="str">
        <f>IFERROR(__xludf.DUMMYFUNCTION("AI(""HR,Sales,Finance&lt;,IT"")"),"Sales")</f>
        <v>Sales</v>
      </c>
      <c r="E4" s="1" t="s">
        <v>23</v>
      </c>
      <c r="F4" s="1">
        <v>80000.0</v>
      </c>
      <c r="G4" s="1">
        <v>35.0</v>
      </c>
      <c r="H4" s="1">
        <v>5.0</v>
      </c>
      <c r="I4" s="1" t="s">
        <v>14</v>
      </c>
      <c r="K4" s="7" t="s">
        <v>24</v>
      </c>
      <c r="L4" s="9">
        <f>MAX(F2:F11)</f>
        <v>80000</v>
      </c>
    </row>
    <row r="5">
      <c r="A5" s="1" t="s">
        <v>25</v>
      </c>
      <c r="B5" s="1" t="s">
        <v>26</v>
      </c>
      <c r="C5" s="1" t="s">
        <v>18</v>
      </c>
      <c r="D5" s="6" t="str">
        <f>IFERROR(__xludf.DUMMYFUNCTION("AI(""HR,Sales,Finance&lt;,IT"")"),"IT")</f>
        <v>IT</v>
      </c>
      <c r="E5" s="1" t="s">
        <v>27</v>
      </c>
      <c r="F5" s="1">
        <v>60000.0</v>
      </c>
      <c r="G5" s="1">
        <v>30.0</v>
      </c>
      <c r="H5" s="1">
        <v>4.0</v>
      </c>
      <c r="I5" s="1" t="s">
        <v>14</v>
      </c>
      <c r="K5" s="7" t="s">
        <v>28</v>
      </c>
      <c r="L5" s="9">
        <f>MIN(F2:F11)</f>
        <v>35000</v>
      </c>
    </row>
    <row r="6">
      <c r="A6" s="1" t="s">
        <v>29</v>
      </c>
      <c r="B6" s="1" t="s">
        <v>30</v>
      </c>
      <c r="C6" s="1" t="s">
        <v>18</v>
      </c>
      <c r="D6" s="6" t="str">
        <f>IFERROR(__xludf.DUMMYFUNCTION("AI(""HR,Sales,Finance&lt;,IT"")"),"HR")</f>
        <v>HR</v>
      </c>
      <c r="E6" s="1" t="s">
        <v>31</v>
      </c>
      <c r="F6" s="1">
        <v>50000.0</v>
      </c>
      <c r="G6" s="1">
        <v>26.0</v>
      </c>
      <c r="H6" s="1">
        <v>2.0</v>
      </c>
      <c r="I6" s="1" t="s">
        <v>14</v>
      </c>
      <c r="K6" s="7" t="s">
        <v>32</v>
      </c>
      <c r="L6" s="9">
        <f>SUM(F2:F11)</f>
        <v>602000</v>
      </c>
    </row>
    <row r="7">
      <c r="A7" s="1" t="s">
        <v>33</v>
      </c>
      <c r="B7" s="1" t="s">
        <v>34</v>
      </c>
      <c r="C7" s="6" t="str">
        <f>IFERROR(__xludf.DUMMYFUNCTION("AI(""Fill an appropriate value for this cell based on the table context"")"),"male")</f>
        <v>male</v>
      </c>
      <c r="D7" s="6" t="str">
        <f>IFERROR(__xludf.DUMMYFUNCTION("AI(""HR,Sales,Finance&lt;,IT"")"),"Finance")</f>
        <v>Finance</v>
      </c>
      <c r="E7" s="1" t="s">
        <v>35</v>
      </c>
      <c r="F7" s="1">
        <v>35000.0</v>
      </c>
      <c r="G7" s="1">
        <v>25.0</v>
      </c>
      <c r="H7" s="1">
        <v>1.0</v>
      </c>
      <c r="I7" s="1" t="s">
        <v>14</v>
      </c>
    </row>
    <row r="8">
      <c r="A8" s="1" t="s">
        <v>36</v>
      </c>
      <c r="B8" s="1" t="s">
        <v>37</v>
      </c>
      <c r="C8" s="6" t="str">
        <f>IFERROR(__xludf.DUMMYFUNCTION("AI(""Fill an appropriate value for this cell based on the table context"")"),"female")</f>
        <v>female</v>
      </c>
      <c r="D8" s="6" t="str">
        <f>IFERROR(__xludf.DUMMYFUNCTION("AI(""HR,Sales,Finance&lt;,IT"")"),"HR")</f>
        <v>HR</v>
      </c>
      <c r="E8" s="1" t="s">
        <v>13</v>
      </c>
      <c r="F8" s="1">
        <v>80000.0</v>
      </c>
      <c r="G8" s="1">
        <v>32.0</v>
      </c>
      <c r="H8" s="1">
        <v>4.0</v>
      </c>
      <c r="I8" s="1" t="s">
        <v>14</v>
      </c>
    </row>
    <row r="9">
      <c r="A9" s="1" t="s">
        <v>38</v>
      </c>
      <c r="B9" s="1" t="s">
        <v>39</v>
      </c>
      <c r="C9" s="6" t="str">
        <f>IFERROR(__xludf.DUMMYFUNCTION("AI(""Fill an appropriate value for this cell based on the table context"")"),"female")</f>
        <v>female</v>
      </c>
      <c r="D9" s="6" t="str">
        <f>IFERROR(__xludf.DUMMYFUNCTION("AI(""HR,Sales,Finance&lt;,IT"")"),"IT")</f>
        <v>IT</v>
      </c>
      <c r="E9" s="1" t="s">
        <v>27</v>
      </c>
      <c r="F9" s="1">
        <v>75000.0</v>
      </c>
      <c r="G9" s="1">
        <v>38.0</v>
      </c>
      <c r="H9" s="1">
        <v>3.0</v>
      </c>
      <c r="I9" s="1" t="s">
        <v>14</v>
      </c>
    </row>
    <row r="10">
      <c r="A10" s="1" t="s">
        <v>40</v>
      </c>
      <c r="B10" s="1" t="s">
        <v>41</v>
      </c>
      <c r="C10" s="6" t="str">
        <f>IFERROR(__xludf.DUMMYFUNCTION("AI(""Fill an appropriate value for this cell based on the table context"")"),"female")</f>
        <v>female</v>
      </c>
      <c r="D10" s="6" t="str">
        <f>IFERROR(__xludf.DUMMYFUNCTION("AI(""HR,Sales,Finance&lt;,IT"")"),"Sales")</f>
        <v>Sales</v>
      </c>
      <c r="E10" s="1" t="s">
        <v>23</v>
      </c>
      <c r="F10" s="1">
        <v>55000.0</v>
      </c>
      <c r="G10" s="1">
        <v>26.0</v>
      </c>
      <c r="H10" s="1">
        <v>2.0</v>
      </c>
      <c r="I10" s="1" t="s">
        <v>14</v>
      </c>
    </row>
    <row r="11">
      <c r="A11" s="1" t="s">
        <v>42</v>
      </c>
      <c r="B11" s="1" t="s">
        <v>43</v>
      </c>
      <c r="C11" s="6" t="str">
        <f>IFERROR(__xludf.DUMMYFUNCTION("AI(""Fill an appropriate value for this cell based on the table context"")"),"male")</f>
        <v>male</v>
      </c>
      <c r="D11" s="6" t="str">
        <f>IFERROR(__xludf.DUMMYFUNCTION("AI(""HR,Sales,Finance&lt;,IT"")"),"Finance")</f>
        <v>Finance</v>
      </c>
      <c r="E11" s="1" t="s">
        <v>19</v>
      </c>
      <c r="F11" s="1">
        <v>72000.0</v>
      </c>
      <c r="G11" s="1">
        <v>34.0</v>
      </c>
      <c r="H11" s="1">
        <v>3.0</v>
      </c>
      <c r="I11" s="1" t="s">
        <v>14</v>
      </c>
    </row>
  </sheetData>
  <drawing r:id="rId1"/>
</worksheet>
</file>